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95"/>
  </bookViews>
  <sheets>
    <sheet name="Without Process Affinity" sheetId="1" r:id="rId1"/>
    <sheet name="With Process Affinity" sheetId="2" r:id="rId2"/>
    <sheet name="Analysis" sheetId="3" r:id="rId3"/>
  </sheets>
  <definedNames>
    <definedName name="_xlnm._FilterDatabase" localSheetId="1" hidden="1">'With Process Affinity'!$A$6:$H$36</definedName>
    <definedName name="_xlnm._FilterDatabase" localSheetId="0" hidden="1">'Without Process Affinity'!$A$6:$H$36</definedName>
  </definedNames>
  <calcPr calcId="125725"/>
</workbook>
</file>

<file path=xl/calcChain.xml><?xml version="1.0" encoding="utf-8"?>
<calcChain xmlns="http://schemas.openxmlformats.org/spreadsheetml/2006/main">
  <c r="B5" i="3"/>
  <c r="B4"/>
  <c r="B2"/>
  <c r="B1"/>
  <c r="H36" i="2"/>
  <c r="G36"/>
  <c r="G35"/>
  <c r="G34"/>
  <c r="H34" s="1"/>
  <c r="G33"/>
  <c r="G32"/>
  <c r="H32" s="1"/>
  <c r="G31"/>
  <c r="G30"/>
  <c r="H30" s="1"/>
  <c r="G29"/>
  <c r="G28"/>
  <c r="H28" s="1"/>
  <c r="G27"/>
  <c r="G26"/>
  <c r="H26" s="1"/>
  <c r="G25"/>
  <c r="G24"/>
  <c r="H24" s="1"/>
  <c r="G23"/>
  <c r="G22"/>
  <c r="H22" s="1"/>
  <c r="G21"/>
  <c r="G20"/>
  <c r="H20" s="1"/>
  <c r="G19"/>
  <c r="G18"/>
  <c r="H18" s="1"/>
  <c r="G17"/>
  <c r="G16"/>
  <c r="H16" s="1"/>
  <c r="G15"/>
  <c r="G14"/>
  <c r="H14" s="1"/>
  <c r="G13"/>
  <c r="G12"/>
  <c r="H12" s="1"/>
  <c r="G11"/>
  <c r="G10"/>
  <c r="H10" s="1"/>
  <c r="G9"/>
  <c r="G8"/>
  <c r="H8" s="1"/>
  <c r="G7"/>
  <c r="J2"/>
  <c r="J1"/>
  <c r="J3" s="1"/>
  <c r="G36" i="1"/>
  <c r="H36" s="1"/>
  <c r="J2"/>
  <c r="J1"/>
  <c r="G27"/>
  <c r="G28"/>
  <c r="G29"/>
  <c r="G30"/>
  <c r="G31"/>
  <c r="G32"/>
  <c r="G33"/>
  <c r="G34"/>
  <c r="H34" s="1"/>
  <c r="G35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H26" s="1"/>
  <c r="G7"/>
  <c r="H7" i="2" l="1"/>
  <c r="H9"/>
  <c r="H13"/>
  <c r="H15"/>
  <c r="H17"/>
  <c r="H19"/>
  <c r="H21"/>
  <c r="H23"/>
  <c r="H25"/>
  <c r="H27"/>
  <c r="H29"/>
  <c r="H31"/>
  <c r="H33"/>
  <c r="H35"/>
  <c r="H11"/>
  <c r="J4"/>
  <c r="H30" i="1"/>
  <c r="H35"/>
  <c r="H32"/>
  <c r="H28"/>
  <c r="H33"/>
  <c r="H29"/>
  <c r="H31"/>
  <c r="H27"/>
  <c r="J4"/>
  <c r="H22"/>
  <c r="H18"/>
  <c r="H24"/>
  <c r="H16"/>
  <c r="J3"/>
  <c r="H7"/>
  <c r="H20"/>
  <c r="H14"/>
  <c r="H15"/>
  <c r="H25"/>
  <c r="H21"/>
  <c r="H17"/>
  <c r="H23"/>
  <c r="H12"/>
  <c r="H8"/>
  <c r="H13"/>
  <c r="H9"/>
  <c r="H10"/>
  <c r="H19"/>
  <c r="H11"/>
</calcChain>
</file>

<file path=xl/sharedStrings.xml><?xml version="1.0" encoding="utf-8"?>
<sst xmlns="http://schemas.openxmlformats.org/spreadsheetml/2006/main" count="26" uniqueCount="15">
  <si>
    <t>S#</t>
  </si>
  <si>
    <t>Max PT</t>
  </si>
  <si>
    <t>Max P</t>
  </si>
  <si>
    <t>Min PT</t>
  </si>
  <si>
    <t>Min P</t>
  </si>
  <si>
    <t>Diff T</t>
  </si>
  <si>
    <t>Variance</t>
  </si>
  <si>
    <t>Avg Min PT</t>
  </si>
  <si>
    <t>Avg Max PT</t>
  </si>
  <si>
    <t>Avg T Diff</t>
  </si>
  <si>
    <t>% Min/Max</t>
  </si>
  <si>
    <t>Average Time to run a single Thread with no CPU/Process Affinity</t>
  </si>
  <si>
    <t>Average Time to run max Threads per Logical Processors (4 = 2 Cores x 2 HyperThreads) with no CPU/Process Affinity</t>
  </si>
  <si>
    <t>Average Time to run a single Thread with CPU/Process Affinity</t>
  </si>
  <si>
    <t>Average Time to run max Threads per Logical Processors (1 because of CPU/Process Affinity) with CPU/Process Affinity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</si>
</sst>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>
      <selection activeCell="J14" sqref="J14"/>
    </sheetView>
  </sheetViews>
  <sheetFormatPr defaultRowHeight="15"/>
  <cols>
    <col min="9" max="10" width="11" bestFit="1" customWidth="1"/>
  </cols>
  <sheetData>
    <row r="1" spans="1:10">
      <c r="I1" s="2" t="s">
        <v>7</v>
      </c>
      <c r="J1" s="2">
        <f>AVERAGE(C7:C36)</f>
        <v>552.4666666666667</v>
      </c>
    </row>
    <row r="2" spans="1:10">
      <c r="I2" s="2" t="s">
        <v>8</v>
      </c>
      <c r="J2" s="2">
        <f>AVERAGE(E7:E36)</f>
        <v>180.56666666666666</v>
      </c>
    </row>
    <row r="3" spans="1:10">
      <c r="I3" s="2" t="s">
        <v>9</v>
      </c>
      <c r="J3" s="2">
        <f>J1-J2</f>
        <v>371.90000000000003</v>
      </c>
    </row>
    <row r="4" spans="1:10">
      <c r="I4" s="2" t="s">
        <v>10</v>
      </c>
      <c r="J4" s="2">
        <f>J2/J1*100</f>
        <v>32.683721491492697</v>
      </c>
    </row>
    <row r="6" spans="1:10">
      <c r="A6" t="s">
        <v>0</v>
      </c>
      <c r="B6" t="s">
        <v>4</v>
      </c>
      <c r="C6" t="s">
        <v>3</v>
      </c>
      <c r="D6" t="s">
        <v>2</v>
      </c>
      <c r="E6" t="s">
        <v>1</v>
      </c>
      <c r="G6" t="s">
        <v>5</v>
      </c>
      <c r="H6" t="s">
        <v>6</v>
      </c>
    </row>
    <row r="7" spans="1:10">
      <c r="A7" s="1">
        <v>1</v>
      </c>
      <c r="B7">
        <v>1</v>
      </c>
      <c r="C7">
        <v>555</v>
      </c>
      <c r="D7">
        <v>4</v>
      </c>
      <c r="E7">
        <v>179</v>
      </c>
      <c r="G7">
        <f>C7-E7</f>
        <v>376</v>
      </c>
      <c r="H7">
        <f>ABS(G7-G8)</f>
        <v>2</v>
      </c>
    </row>
    <row r="8" spans="1:10">
      <c r="A8" s="1">
        <v>2</v>
      </c>
      <c r="B8">
        <v>1</v>
      </c>
      <c r="C8">
        <v>552</v>
      </c>
      <c r="D8">
        <v>4</v>
      </c>
      <c r="E8">
        <v>178</v>
      </c>
      <c r="G8">
        <f>C8-E8</f>
        <v>374</v>
      </c>
      <c r="H8">
        <f>ABS(G8-G9)</f>
        <v>2</v>
      </c>
    </row>
    <row r="9" spans="1:10">
      <c r="A9" s="1">
        <v>3</v>
      </c>
      <c r="B9">
        <v>1</v>
      </c>
      <c r="C9">
        <v>549</v>
      </c>
      <c r="D9">
        <v>4</v>
      </c>
      <c r="E9">
        <v>177</v>
      </c>
      <c r="G9">
        <f>C9-E9</f>
        <v>372</v>
      </c>
      <c r="H9">
        <f>ABS(G9-G10)</f>
        <v>6</v>
      </c>
    </row>
    <row r="10" spans="1:10">
      <c r="A10" s="1">
        <v>4</v>
      </c>
      <c r="B10">
        <v>1</v>
      </c>
      <c r="C10">
        <v>552</v>
      </c>
      <c r="D10">
        <v>4</v>
      </c>
      <c r="E10">
        <v>186</v>
      </c>
      <c r="G10">
        <f>C10-E10</f>
        <v>366</v>
      </c>
      <c r="H10">
        <f>ABS(G10-G11)</f>
        <v>0</v>
      </c>
    </row>
    <row r="11" spans="1:10">
      <c r="A11" s="1">
        <v>5</v>
      </c>
      <c r="B11">
        <v>1</v>
      </c>
      <c r="C11">
        <v>555</v>
      </c>
      <c r="D11">
        <v>4</v>
      </c>
      <c r="E11">
        <v>189</v>
      </c>
      <c r="G11">
        <f>C11-E11</f>
        <v>366</v>
      </c>
      <c r="H11">
        <f>ABS(G11-G12)</f>
        <v>9</v>
      </c>
    </row>
    <row r="12" spans="1:10">
      <c r="A12" s="1">
        <v>6</v>
      </c>
      <c r="B12">
        <v>1</v>
      </c>
      <c r="C12">
        <v>551</v>
      </c>
      <c r="D12">
        <v>4</v>
      </c>
      <c r="E12">
        <v>176</v>
      </c>
      <c r="G12">
        <f>C12-E12</f>
        <v>375</v>
      </c>
      <c r="H12">
        <f>ABS(G12-G13)</f>
        <v>3</v>
      </c>
    </row>
    <row r="13" spans="1:10">
      <c r="A13" s="1">
        <v>7</v>
      </c>
      <c r="B13">
        <v>1</v>
      </c>
      <c r="C13">
        <v>555</v>
      </c>
      <c r="D13">
        <v>4</v>
      </c>
      <c r="E13">
        <v>177</v>
      </c>
      <c r="G13">
        <f>C13-E13</f>
        <v>378</v>
      </c>
      <c r="H13">
        <f>ABS(G13-G14)</f>
        <v>2</v>
      </c>
    </row>
    <row r="14" spans="1:10">
      <c r="A14" s="1">
        <v>8</v>
      </c>
      <c r="B14">
        <v>1</v>
      </c>
      <c r="C14">
        <v>565</v>
      </c>
      <c r="D14">
        <v>4</v>
      </c>
      <c r="E14">
        <v>189</v>
      </c>
      <c r="G14">
        <f>C14-E14</f>
        <v>376</v>
      </c>
      <c r="H14">
        <f>ABS(G14-G15)</f>
        <v>1</v>
      </c>
    </row>
    <row r="15" spans="1:10">
      <c r="A15" s="1">
        <v>9</v>
      </c>
      <c r="B15">
        <v>1</v>
      </c>
      <c r="C15">
        <v>554</v>
      </c>
      <c r="D15">
        <v>4</v>
      </c>
      <c r="E15">
        <v>177</v>
      </c>
      <c r="G15">
        <f>C15-E15</f>
        <v>377</v>
      </c>
      <c r="H15">
        <f>ABS(G15-G16)</f>
        <v>12</v>
      </c>
    </row>
    <row r="16" spans="1:10">
      <c r="A16" s="1">
        <v>10</v>
      </c>
      <c r="B16">
        <v>1</v>
      </c>
      <c r="C16">
        <v>556</v>
      </c>
      <c r="D16">
        <v>4</v>
      </c>
      <c r="E16">
        <v>191</v>
      </c>
      <c r="G16">
        <f>C16-E16</f>
        <v>365</v>
      </c>
      <c r="H16">
        <f>ABS(G16-G17)</f>
        <v>5</v>
      </c>
    </row>
    <row r="17" spans="1:8">
      <c r="A17" s="1">
        <v>11</v>
      </c>
      <c r="B17">
        <v>1</v>
      </c>
      <c r="C17">
        <v>550</v>
      </c>
      <c r="D17">
        <v>4</v>
      </c>
      <c r="E17">
        <v>180</v>
      </c>
      <c r="G17">
        <f>C17-E17</f>
        <v>370</v>
      </c>
      <c r="H17">
        <f>ABS(G17-G18)</f>
        <v>6</v>
      </c>
    </row>
    <row r="18" spans="1:8">
      <c r="A18" s="1">
        <v>12</v>
      </c>
      <c r="B18">
        <v>1</v>
      </c>
      <c r="C18">
        <v>550</v>
      </c>
      <c r="D18">
        <v>4</v>
      </c>
      <c r="E18">
        <v>174</v>
      </c>
      <c r="G18">
        <f>C18-E18</f>
        <v>376</v>
      </c>
      <c r="H18">
        <f>ABS(G18-G19)</f>
        <v>4</v>
      </c>
    </row>
    <row r="19" spans="1:8">
      <c r="A19" s="1">
        <v>13</v>
      </c>
      <c r="B19">
        <v>1</v>
      </c>
      <c r="C19">
        <v>554</v>
      </c>
      <c r="D19">
        <v>4</v>
      </c>
      <c r="E19">
        <v>174</v>
      </c>
      <c r="G19">
        <f>C19-E19</f>
        <v>380</v>
      </c>
      <c r="H19">
        <f>ABS(G19-G20)</f>
        <v>9</v>
      </c>
    </row>
    <row r="20" spans="1:8">
      <c r="A20" s="1">
        <v>14</v>
      </c>
      <c r="B20">
        <v>1</v>
      </c>
      <c r="C20">
        <v>551</v>
      </c>
      <c r="D20">
        <v>4</v>
      </c>
      <c r="E20">
        <v>180</v>
      </c>
      <c r="G20">
        <f>C20-E20</f>
        <v>371</v>
      </c>
      <c r="H20">
        <f>ABS(G20-G21)</f>
        <v>16</v>
      </c>
    </row>
    <row r="21" spans="1:8">
      <c r="A21" s="1">
        <v>15</v>
      </c>
      <c r="B21">
        <v>1</v>
      </c>
      <c r="C21">
        <v>551</v>
      </c>
      <c r="D21">
        <v>4</v>
      </c>
      <c r="E21">
        <v>196</v>
      </c>
      <c r="G21">
        <f>C21-E21</f>
        <v>355</v>
      </c>
      <c r="H21">
        <f>ABS(G21-G22)</f>
        <v>18</v>
      </c>
    </row>
    <row r="22" spans="1:8">
      <c r="A22" s="1">
        <v>16</v>
      </c>
      <c r="B22">
        <v>1</v>
      </c>
      <c r="C22">
        <v>550</v>
      </c>
      <c r="D22">
        <v>4</v>
      </c>
      <c r="E22">
        <v>177</v>
      </c>
      <c r="G22">
        <f>C22-E22</f>
        <v>373</v>
      </c>
      <c r="H22">
        <f>ABS(G22-G23)</f>
        <v>4</v>
      </c>
    </row>
    <row r="23" spans="1:8">
      <c r="A23" s="1">
        <v>17</v>
      </c>
      <c r="B23">
        <v>1</v>
      </c>
      <c r="C23">
        <v>554</v>
      </c>
      <c r="D23">
        <v>4</v>
      </c>
      <c r="E23">
        <v>177</v>
      </c>
      <c r="G23">
        <f>C23-E23</f>
        <v>377</v>
      </c>
      <c r="H23">
        <f>ABS(G23-G24)</f>
        <v>4</v>
      </c>
    </row>
    <row r="24" spans="1:8">
      <c r="A24" s="1">
        <v>18</v>
      </c>
      <c r="B24">
        <v>1</v>
      </c>
      <c r="C24">
        <v>551</v>
      </c>
      <c r="D24">
        <v>4</v>
      </c>
      <c r="E24">
        <v>178</v>
      </c>
      <c r="G24">
        <f>C24-E24</f>
        <v>373</v>
      </c>
      <c r="H24">
        <f>ABS(G24-G25)</f>
        <v>16</v>
      </c>
    </row>
    <row r="25" spans="1:8">
      <c r="A25" s="1">
        <v>19</v>
      </c>
      <c r="B25">
        <v>1</v>
      </c>
      <c r="C25">
        <v>551</v>
      </c>
      <c r="D25">
        <v>4</v>
      </c>
      <c r="E25">
        <v>194</v>
      </c>
      <c r="G25">
        <f>C25-E25</f>
        <v>357</v>
      </c>
      <c r="H25">
        <f>ABS(G25-G26)</f>
        <v>12</v>
      </c>
    </row>
    <row r="26" spans="1:8">
      <c r="A26" s="1">
        <v>20</v>
      </c>
      <c r="B26">
        <v>1</v>
      </c>
      <c r="C26">
        <v>545</v>
      </c>
      <c r="D26">
        <v>4</v>
      </c>
      <c r="E26">
        <v>176</v>
      </c>
      <c r="G26">
        <f>C26-E26</f>
        <v>369</v>
      </c>
      <c r="H26">
        <f>ABS(G26-G27)</f>
        <v>7</v>
      </c>
    </row>
    <row r="27" spans="1:8">
      <c r="A27" s="1">
        <v>21</v>
      </c>
      <c r="B27">
        <v>1</v>
      </c>
      <c r="C27">
        <v>551</v>
      </c>
      <c r="D27">
        <v>4</v>
      </c>
      <c r="E27">
        <v>175</v>
      </c>
      <c r="G27">
        <f t="shared" ref="G27:G36" si="0">C27-E27</f>
        <v>376</v>
      </c>
      <c r="H27">
        <f t="shared" ref="H27:H36" si="1">ABS(G27-G28)</f>
        <v>0</v>
      </c>
    </row>
    <row r="28" spans="1:8">
      <c r="A28" s="1">
        <v>22</v>
      </c>
      <c r="B28">
        <v>1</v>
      </c>
      <c r="C28">
        <v>553</v>
      </c>
      <c r="D28">
        <v>4</v>
      </c>
      <c r="E28">
        <v>177</v>
      </c>
      <c r="G28">
        <f t="shared" si="0"/>
        <v>376</v>
      </c>
      <c r="H28">
        <f t="shared" si="1"/>
        <v>7</v>
      </c>
    </row>
    <row r="29" spans="1:8">
      <c r="A29" s="1">
        <v>23</v>
      </c>
      <c r="B29">
        <v>1</v>
      </c>
      <c r="C29">
        <v>548</v>
      </c>
      <c r="D29">
        <v>4</v>
      </c>
      <c r="E29">
        <v>179</v>
      </c>
      <c r="G29">
        <f t="shared" si="0"/>
        <v>369</v>
      </c>
      <c r="H29">
        <f t="shared" si="1"/>
        <v>5</v>
      </c>
    </row>
    <row r="30" spans="1:8">
      <c r="A30" s="1">
        <v>24</v>
      </c>
      <c r="B30">
        <v>1</v>
      </c>
      <c r="C30">
        <v>551</v>
      </c>
      <c r="D30">
        <v>4</v>
      </c>
      <c r="E30">
        <v>177</v>
      </c>
      <c r="G30">
        <f t="shared" si="0"/>
        <v>374</v>
      </c>
      <c r="H30">
        <f t="shared" si="1"/>
        <v>10</v>
      </c>
    </row>
    <row r="31" spans="1:8">
      <c r="A31" s="1">
        <v>25</v>
      </c>
      <c r="B31">
        <v>1</v>
      </c>
      <c r="C31">
        <v>560</v>
      </c>
      <c r="D31">
        <v>4</v>
      </c>
      <c r="E31">
        <v>176</v>
      </c>
      <c r="G31">
        <f t="shared" si="0"/>
        <v>384</v>
      </c>
      <c r="H31">
        <f t="shared" si="1"/>
        <v>16</v>
      </c>
    </row>
    <row r="32" spans="1:8">
      <c r="A32" s="1">
        <v>26</v>
      </c>
      <c r="B32">
        <v>1</v>
      </c>
      <c r="C32">
        <v>550</v>
      </c>
      <c r="D32">
        <v>4</v>
      </c>
      <c r="E32">
        <v>182</v>
      </c>
      <c r="G32">
        <f t="shared" si="0"/>
        <v>368</v>
      </c>
      <c r="H32">
        <f t="shared" si="1"/>
        <v>8</v>
      </c>
    </row>
    <row r="33" spans="1:8">
      <c r="A33" s="1">
        <v>27</v>
      </c>
      <c r="B33">
        <v>1</v>
      </c>
      <c r="C33">
        <v>554</v>
      </c>
      <c r="D33">
        <v>4</v>
      </c>
      <c r="E33">
        <v>178</v>
      </c>
      <c r="G33">
        <f t="shared" si="0"/>
        <v>376</v>
      </c>
      <c r="H33">
        <f t="shared" si="1"/>
        <v>5</v>
      </c>
    </row>
    <row r="34" spans="1:8">
      <c r="A34" s="1">
        <v>28</v>
      </c>
      <c r="B34">
        <v>1</v>
      </c>
      <c r="C34">
        <v>551</v>
      </c>
      <c r="D34">
        <v>4</v>
      </c>
      <c r="E34">
        <v>180</v>
      </c>
      <c r="G34">
        <f t="shared" si="0"/>
        <v>371</v>
      </c>
      <c r="H34">
        <f t="shared" si="1"/>
        <v>6</v>
      </c>
    </row>
    <row r="35" spans="1:8">
      <c r="A35" s="1">
        <v>29</v>
      </c>
      <c r="B35">
        <v>1</v>
      </c>
      <c r="C35">
        <v>553</v>
      </c>
      <c r="D35">
        <v>4</v>
      </c>
      <c r="E35">
        <v>176</v>
      </c>
      <c r="G35">
        <f t="shared" si="0"/>
        <v>377</v>
      </c>
      <c r="H35">
        <f t="shared" si="1"/>
        <v>17</v>
      </c>
    </row>
    <row r="36" spans="1:8">
      <c r="A36">
        <v>30</v>
      </c>
      <c r="B36">
        <v>1</v>
      </c>
      <c r="C36">
        <v>552</v>
      </c>
      <c r="D36">
        <v>4</v>
      </c>
      <c r="E36">
        <v>192</v>
      </c>
      <c r="G36">
        <f t="shared" si="0"/>
        <v>360</v>
      </c>
      <c r="H36">
        <f t="shared" si="1"/>
        <v>360</v>
      </c>
    </row>
  </sheetData>
  <autoFilter ref="A6:H36"/>
  <sortState ref="A1:H20">
    <sortCondition ref="A1:A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J8" sqref="J8"/>
    </sheetView>
  </sheetViews>
  <sheetFormatPr defaultRowHeight="15"/>
  <cols>
    <col min="9" max="9" width="11" bestFit="1" customWidth="1"/>
  </cols>
  <sheetData>
    <row r="1" spans="1:10">
      <c r="I1" s="2" t="s">
        <v>7</v>
      </c>
      <c r="J1" s="2">
        <f>AVERAGE(C7:C36)</f>
        <v>555.13333333333333</v>
      </c>
    </row>
    <row r="2" spans="1:10">
      <c r="I2" s="2" t="s">
        <v>8</v>
      </c>
      <c r="J2" s="2">
        <f>AVERAGE(E7:E36)</f>
        <v>552.9</v>
      </c>
    </row>
    <row r="3" spans="1:10">
      <c r="I3" s="2" t="s">
        <v>9</v>
      </c>
      <c r="J3" s="2">
        <f>J1-J2</f>
        <v>2.2333333333333485</v>
      </c>
    </row>
    <row r="4" spans="1:10">
      <c r="I4" s="2" t="s">
        <v>10</v>
      </c>
      <c r="J4" s="2">
        <f>J2/J1*100</f>
        <v>99.597694247628198</v>
      </c>
    </row>
    <row r="6" spans="1:10">
      <c r="A6" t="s">
        <v>0</v>
      </c>
      <c r="B6" t="s">
        <v>4</v>
      </c>
      <c r="C6" t="s">
        <v>3</v>
      </c>
      <c r="D6" t="s">
        <v>2</v>
      </c>
      <c r="E6" t="s">
        <v>1</v>
      </c>
      <c r="G6" t="s">
        <v>5</v>
      </c>
      <c r="H6" t="s">
        <v>6</v>
      </c>
    </row>
    <row r="7" spans="1:10">
      <c r="A7" s="1">
        <v>1</v>
      </c>
      <c r="B7">
        <v>1</v>
      </c>
      <c r="C7">
        <v>576</v>
      </c>
      <c r="D7">
        <v>1</v>
      </c>
      <c r="E7">
        <v>544</v>
      </c>
      <c r="G7">
        <f>C7-E7</f>
        <v>32</v>
      </c>
      <c r="H7">
        <f>ABS(G7-G8)</f>
        <v>31</v>
      </c>
    </row>
    <row r="8" spans="1:10">
      <c r="A8" s="1">
        <v>2</v>
      </c>
      <c r="B8">
        <v>1</v>
      </c>
      <c r="C8">
        <v>556</v>
      </c>
      <c r="D8">
        <v>1</v>
      </c>
      <c r="E8">
        <v>555</v>
      </c>
      <c r="G8">
        <f>C8-E8</f>
        <v>1</v>
      </c>
      <c r="H8">
        <f>ABS(G8-G9)</f>
        <v>2</v>
      </c>
    </row>
    <row r="9" spans="1:10">
      <c r="A9" s="1">
        <v>3</v>
      </c>
      <c r="B9">
        <v>1</v>
      </c>
      <c r="C9">
        <v>559</v>
      </c>
      <c r="D9">
        <v>1</v>
      </c>
      <c r="E9">
        <v>556</v>
      </c>
      <c r="G9">
        <f>C9-E9</f>
        <v>3</v>
      </c>
      <c r="H9">
        <f>ABS(G9-G10)</f>
        <v>13</v>
      </c>
    </row>
    <row r="10" spans="1:10">
      <c r="A10" s="1">
        <v>4</v>
      </c>
      <c r="B10">
        <v>1</v>
      </c>
      <c r="C10">
        <v>552</v>
      </c>
      <c r="D10">
        <v>1</v>
      </c>
      <c r="E10">
        <v>562</v>
      </c>
      <c r="G10">
        <f>C10-E10</f>
        <v>-10</v>
      </c>
      <c r="H10">
        <f>ABS(G10-G11)</f>
        <v>21</v>
      </c>
    </row>
    <row r="11" spans="1:10">
      <c r="A11" s="1">
        <v>5</v>
      </c>
      <c r="B11">
        <v>1</v>
      </c>
      <c r="C11">
        <v>563</v>
      </c>
      <c r="D11">
        <v>1</v>
      </c>
      <c r="E11">
        <v>552</v>
      </c>
      <c r="G11">
        <f>C11-E11</f>
        <v>11</v>
      </c>
      <c r="H11">
        <f>ABS(G11-G12)</f>
        <v>9</v>
      </c>
    </row>
    <row r="12" spans="1:10">
      <c r="A12" s="1">
        <v>6</v>
      </c>
      <c r="B12">
        <v>1</v>
      </c>
      <c r="C12">
        <v>561</v>
      </c>
      <c r="D12">
        <v>1</v>
      </c>
      <c r="E12">
        <v>559</v>
      </c>
      <c r="G12">
        <f>C12-E12</f>
        <v>2</v>
      </c>
      <c r="H12">
        <f>ABS(G12-G13)</f>
        <v>5</v>
      </c>
    </row>
    <row r="13" spans="1:10">
      <c r="A13" s="1">
        <v>7</v>
      </c>
      <c r="B13">
        <v>1</v>
      </c>
      <c r="C13">
        <v>551</v>
      </c>
      <c r="D13">
        <v>1</v>
      </c>
      <c r="E13">
        <v>554</v>
      </c>
      <c r="G13">
        <f>C13-E13</f>
        <v>-3</v>
      </c>
      <c r="H13">
        <f>ABS(G13-G14)</f>
        <v>6</v>
      </c>
    </row>
    <row r="14" spans="1:10">
      <c r="A14" s="1">
        <v>8</v>
      </c>
      <c r="B14">
        <v>1</v>
      </c>
      <c r="C14">
        <v>555</v>
      </c>
      <c r="D14">
        <v>1</v>
      </c>
      <c r="E14">
        <v>552</v>
      </c>
      <c r="G14">
        <f>C14-E14</f>
        <v>3</v>
      </c>
      <c r="H14">
        <f>ABS(G14-G15)</f>
        <v>10</v>
      </c>
    </row>
    <row r="15" spans="1:10">
      <c r="A15" s="1">
        <v>9</v>
      </c>
      <c r="B15">
        <v>1</v>
      </c>
      <c r="C15">
        <v>565</v>
      </c>
      <c r="D15">
        <v>1</v>
      </c>
      <c r="E15">
        <v>552</v>
      </c>
      <c r="G15">
        <f>C15-E15</f>
        <v>13</v>
      </c>
      <c r="H15">
        <f>ABS(G15-G16)</f>
        <v>3</v>
      </c>
    </row>
    <row r="16" spans="1:10">
      <c r="A16" s="1">
        <v>10</v>
      </c>
      <c r="B16">
        <v>1</v>
      </c>
      <c r="C16">
        <v>566</v>
      </c>
      <c r="D16">
        <v>1</v>
      </c>
      <c r="E16">
        <v>556</v>
      </c>
      <c r="G16">
        <f>C16-E16</f>
        <v>10</v>
      </c>
      <c r="H16">
        <f>ABS(G16-G17)</f>
        <v>6</v>
      </c>
    </row>
    <row r="17" spans="1:8">
      <c r="A17" s="1">
        <v>11</v>
      </c>
      <c r="B17">
        <v>1</v>
      </c>
      <c r="C17">
        <v>556</v>
      </c>
      <c r="D17">
        <v>1</v>
      </c>
      <c r="E17">
        <v>552</v>
      </c>
      <c r="G17">
        <f>C17-E17</f>
        <v>4</v>
      </c>
      <c r="H17">
        <f>ABS(G17-G18)</f>
        <v>15</v>
      </c>
    </row>
    <row r="18" spans="1:8">
      <c r="A18" s="1">
        <v>12</v>
      </c>
      <c r="B18">
        <v>1</v>
      </c>
      <c r="C18">
        <v>552</v>
      </c>
      <c r="D18">
        <v>1</v>
      </c>
      <c r="E18">
        <v>563</v>
      </c>
      <c r="G18">
        <f>C18-E18</f>
        <v>-11</v>
      </c>
      <c r="H18">
        <f>ABS(G18-G19)</f>
        <v>10</v>
      </c>
    </row>
    <row r="19" spans="1:8">
      <c r="A19" s="1">
        <v>13</v>
      </c>
      <c r="B19">
        <v>1</v>
      </c>
      <c r="C19">
        <v>550</v>
      </c>
      <c r="D19">
        <v>1</v>
      </c>
      <c r="E19">
        <v>551</v>
      </c>
      <c r="G19">
        <f>C19-E19</f>
        <v>-1</v>
      </c>
      <c r="H19">
        <f>ABS(G19-G20)</f>
        <v>5</v>
      </c>
    </row>
    <row r="20" spans="1:8">
      <c r="A20" s="1">
        <v>14</v>
      </c>
      <c r="B20">
        <v>1</v>
      </c>
      <c r="C20">
        <v>550</v>
      </c>
      <c r="D20">
        <v>1</v>
      </c>
      <c r="E20">
        <v>556</v>
      </c>
      <c r="G20">
        <f>C20-E20</f>
        <v>-6</v>
      </c>
      <c r="H20">
        <f>ABS(G20-G21)</f>
        <v>1</v>
      </c>
    </row>
    <row r="21" spans="1:8">
      <c r="A21" s="1">
        <v>15</v>
      </c>
      <c r="B21">
        <v>1</v>
      </c>
      <c r="C21">
        <v>551</v>
      </c>
      <c r="D21">
        <v>1</v>
      </c>
      <c r="E21">
        <v>556</v>
      </c>
      <c r="G21">
        <f>C21-E21</f>
        <v>-5</v>
      </c>
      <c r="H21">
        <f>ABS(G21-G22)</f>
        <v>8</v>
      </c>
    </row>
    <row r="22" spans="1:8">
      <c r="A22" s="1">
        <v>16</v>
      </c>
      <c r="B22">
        <v>1</v>
      </c>
      <c r="C22">
        <v>553</v>
      </c>
      <c r="D22">
        <v>1</v>
      </c>
      <c r="E22">
        <v>550</v>
      </c>
      <c r="G22">
        <f>C22-E22</f>
        <v>3</v>
      </c>
      <c r="H22">
        <f>ABS(G22-G23)</f>
        <v>2</v>
      </c>
    </row>
    <row r="23" spans="1:8">
      <c r="A23" s="1">
        <v>17</v>
      </c>
      <c r="B23">
        <v>1</v>
      </c>
      <c r="C23">
        <v>554</v>
      </c>
      <c r="D23">
        <v>1</v>
      </c>
      <c r="E23">
        <v>553</v>
      </c>
      <c r="G23">
        <f>C23-E23</f>
        <v>1</v>
      </c>
      <c r="H23">
        <f>ABS(G23-G24)</f>
        <v>2</v>
      </c>
    </row>
    <row r="24" spans="1:8">
      <c r="A24" s="1">
        <v>18</v>
      </c>
      <c r="B24">
        <v>1</v>
      </c>
      <c r="C24">
        <v>554</v>
      </c>
      <c r="D24">
        <v>1</v>
      </c>
      <c r="E24">
        <v>551</v>
      </c>
      <c r="G24">
        <f>C24-E24</f>
        <v>3</v>
      </c>
      <c r="H24">
        <f>ABS(G24-G25)</f>
        <v>2</v>
      </c>
    </row>
    <row r="25" spans="1:8">
      <c r="A25" s="1">
        <v>19</v>
      </c>
      <c r="B25">
        <v>1</v>
      </c>
      <c r="C25">
        <v>551</v>
      </c>
      <c r="D25">
        <v>1</v>
      </c>
      <c r="E25">
        <v>550</v>
      </c>
      <c r="G25">
        <f>C25-E25</f>
        <v>1</v>
      </c>
      <c r="H25">
        <f>ABS(G25-G26)</f>
        <v>2</v>
      </c>
    </row>
    <row r="26" spans="1:8">
      <c r="A26" s="1">
        <v>20</v>
      </c>
      <c r="B26">
        <v>1</v>
      </c>
      <c r="C26">
        <v>554</v>
      </c>
      <c r="D26">
        <v>1</v>
      </c>
      <c r="E26">
        <v>551</v>
      </c>
      <c r="G26">
        <f>C26-E26</f>
        <v>3</v>
      </c>
      <c r="H26">
        <f>ABS(G26-G27)</f>
        <v>2</v>
      </c>
    </row>
    <row r="27" spans="1:8">
      <c r="A27" s="1">
        <v>21</v>
      </c>
      <c r="B27">
        <v>1</v>
      </c>
      <c r="C27">
        <v>553</v>
      </c>
      <c r="D27">
        <v>1</v>
      </c>
      <c r="E27">
        <v>552</v>
      </c>
      <c r="G27">
        <f t="shared" ref="G27:G36" si="0">C27-E27</f>
        <v>1</v>
      </c>
      <c r="H27">
        <f t="shared" ref="H27:H36" si="1">ABS(G27-G28)</f>
        <v>3</v>
      </c>
    </row>
    <row r="28" spans="1:8">
      <c r="A28" s="1">
        <v>22</v>
      </c>
      <c r="B28">
        <v>1</v>
      </c>
      <c r="C28">
        <v>550</v>
      </c>
      <c r="D28">
        <v>1</v>
      </c>
      <c r="E28">
        <v>552</v>
      </c>
      <c r="G28">
        <f t="shared" si="0"/>
        <v>-2</v>
      </c>
      <c r="H28">
        <f t="shared" si="1"/>
        <v>1</v>
      </c>
    </row>
    <row r="29" spans="1:8">
      <c r="A29" s="1">
        <v>23</v>
      </c>
      <c r="B29">
        <v>1</v>
      </c>
      <c r="C29">
        <v>551</v>
      </c>
      <c r="D29">
        <v>1</v>
      </c>
      <c r="E29">
        <v>552</v>
      </c>
      <c r="G29">
        <f t="shared" si="0"/>
        <v>-1</v>
      </c>
      <c r="H29">
        <f t="shared" si="1"/>
        <v>3</v>
      </c>
    </row>
    <row r="30" spans="1:8">
      <c r="A30" s="1">
        <v>24</v>
      </c>
      <c r="B30">
        <v>1</v>
      </c>
      <c r="C30">
        <v>555</v>
      </c>
      <c r="D30">
        <v>1</v>
      </c>
      <c r="E30">
        <v>553</v>
      </c>
      <c r="G30">
        <f t="shared" si="0"/>
        <v>2</v>
      </c>
      <c r="H30">
        <f t="shared" si="1"/>
        <v>0</v>
      </c>
    </row>
    <row r="31" spans="1:8">
      <c r="A31" s="1">
        <v>25</v>
      </c>
      <c r="B31">
        <v>1</v>
      </c>
      <c r="C31">
        <v>554</v>
      </c>
      <c r="D31">
        <v>1</v>
      </c>
      <c r="E31">
        <v>552</v>
      </c>
      <c r="G31">
        <f t="shared" si="0"/>
        <v>2</v>
      </c>
      <c r="H31">
        <f t="shared" si="1"/>
        <v>0</v>
      </c>
    </row>
    <row r="32" spans="1:8">
      <c r="A32" s="1">
        <v>26</v>
      </c>
      <c r="B32">
        <v>1</v>
      </c>
      <c r="C32">
        <v>553</v>
      </c>
      <c r="D32">
        <v>1</v>
      </c>
      <c r="E32">
        <v>551</v>
      </c>
      <c r="G32">
        <f t="shared" si="0"/>
        <v>2</v>
      </c>
      <c r="H32">
        <f t="shared" si="1"/>
        <v>0</v>
      </c>
    </row>
    <row r="33" spans="1:8">
      <c r="A33" s="1">
        <v>27</v>
      </c>
      <c r="B33">
        <v>1</v>
      </c>
      <c r="C33">
        <v>552</v>
      </c>
      <c r="D33">
        <v>1</v>
      </c>
      <c r="E33">
        <v>550</v>
      </c>
      <c r="G33">
        <f t="shared" si="0"/>
        <v>2</v>
      </c>
      <c r="H33">
        <f t="shared" si="1"/>
        <v>0</v>
      </c>
    </row>
    <row r="34" spans="1:8">
      <c r="A34" s="1">
        <v>28</v>
      </c>
      <c r="B34">
        <v>1</v>
      </c>
      <c r="C34">
        <v>552</v>
      </c>
      <c r="D34">
        <v>1</v>
      </c>
      <c r="E34">
        <v>550</v>
      </c>
      <c r="G34">
        <f t="shared" si="0"/>
        <v>2</v>
      </c>
      <c r="H34">
        <f t="shared" si="1"/>
        <v>1</v>
      </c>
    </row>
    <row r="35" spans="1:8">
      <c r="A35" s="1">
        <v>29</v>
      </c>
      <c r="B35">
        <v>1</v>
      </c>
      <c r="C35">
        <v>552</v>
      </c>
      <c r="D35">
        <v>1</v>
      </c>
      <c r="E35">
        <v>549</v>
      </c>
      <c r="G35">
        <f t="shared" si="0"/>
        <v>3</v>
      </c>
      <c r="H35">
        <f t="shared" si="1"/>
        <v>1</v>
      </c>
    </row>
    <row r="36" spans="1:8">
      <c r="A36">
        <v>30</v>
      </c>
      <c r="B36">
        <v>1</v>
      </c>
      <c r="C36">
        <v>553</v>
      </c>
      <c r="D36">
        <v>1</v>
      </c>
      <c r="E36">
        <v>551</v>
      </c>
      <c r="G36">
        <f t="shared" si="0"/>
        <v>2</v>
      </c>
      <c r="H36">
        <f t="shared" si="1"/>
        <v>2</v>
      </c>
    </row>
  </sheetData>
  <autoFilter ref="A6:H3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6" sqref="B6"/>
    </sheetView>
  </sheetViews>
  <sheetFormatPr defaultRowHeight="15"/>
  <cols>
    <col min="1" max="1" width="108.140625" bestFit="1" customWidth="1"/>
  </cols>
  <sheetData>
    <row r="1" spans="1:2">
      <c r="A1" t="s">
        <v>11</v>
      </c>
      <c r="B1">
        <f>'Without Process Affinity'!J1</f>
        <v>552.4666666666667</v>
      </c>
    </row>
    <row r="2" spans="1:2">
      <c r="A2" t="s">
        <v>12</v>
      </c>
      <c r="B2">
        <f>'Without Process Affinity'!J2</f>
        <v>180.56666666666666</v>
      </c>
    </row>
    <row r="4" spans="1:2">
      <c r="A4" t="s">
        <v>13</v>
      </c>
      <c r="B4">
        <f>'With Process Affinity'!J1</f>
        <v>555.13333333333333</v>
      </c>
    </row>
    <row r="5" spans="1:2">
      <c r="A5" t="s">
        <v>14</v>
      </c>
      <c r="B5">
        <f>'With Process Affinity'!J2</f>
        <v>552.9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Without Process Affinity</vt:lpstr>
      <vt:lpstr>With Process Affinity</vt:lpstr>
      <vt:lpstr>Analysis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Humayun</dc:creator>
  <cp:lastModifiedBy>Humayun</cp:lastModifiedBy>
  <dcterms:created xsi:type="dcterms:W3CDTF">2016-04-12T23:53:15Z</dcterms:created>
  <dcterms:modified xsi:type="dcterms:W3CDTF">2016-04-13T01:04:29Z</dcterms:modified>
</cp:coreProperties>
</file>